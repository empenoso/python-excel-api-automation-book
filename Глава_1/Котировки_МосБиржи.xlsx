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Михаил\SynologyDrive\docs\2025_12_Книга Python, Excel и API_из-во Наука и Техника\Изображения\Глава 1\"/>
    </mc:Choice>
  </mc:AlternateContent>
  <xr:revisionPtr revIDLastSave="0" documentId="13_ncr:1_{2133BD39-12B1-48F0-BDA4-E07F00A48788}" xr6:coauthVersionLast="47" xr6:coauthVersionMax="47" xr10:uidLastSave="{00000000-0000-0000-0000-000000000000}"/>
  <bookViews>
    <workbookView xWindow="-110" yWindow="-110" windowWidth="34620" windowHeight="13900" xr2:uid="{00CEC69A-C4C4-4EE4-98FD-149DC325D667}"/>
  </bookViews>
  <sheets>
    <sheet name="Мосбирж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B3" i="1"/>
  <c r="B7" i="1"/>
  <c r="B11" i="1"/>
  <c r="B15" i="1"/>
  <c r="A13" i="1"/>
  <c r="A9" i="1"/>
  <c r="A5" i="1"/>
  <c r="A1" i="1"/>
  <c r="C11" i="1"/>
  <c r="C3" i="1" l="1"/>
  <c r="C15" i="1"/>
  <c r="D15" i="1"/>
  <c r="D11" i="1"/>
  <c r="D7" i="1"/>
  <c r="C7" i="1"/>
  <c r="D14" i="1"/>
  <c r="C14" i="1"/>
  <c r="D10" i="1"/>
  <c r="C10" i="1"/>
  <c r="D6" i="1"/>
  <c r="C6" i="1"/>
  <c r="D2" i="1"/>
  <c r="C2" i="1"/>
</calcChain>
</file>

<file path=xl/sharedStrings.xml><?xml version="1.0" encoding="utf-8"?>
<sst xmlns="http://schemas.openxmlformats.org/spreadsheetml/2006/main" count="12" uniqueCount="7">
  <si>
    <t>Тикер</t>
  </si>
  <si>
    <t>SBER</t>
  </si>
  <si>
    <t>TMON</t>
  </si>
  <si>
    <t>SU52004RMFS7</t>
  </si>
  <si>
    <t>RU000A106946</t>
  </si>
  <si>
    <t>Наименование</t>
  </si>
  <si>
    <t>Код ценной бумаги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</si>
</sst>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8329F-149C-4B65-AD3C-8B12B81E95C0}">
  <dimension ref="A1:D15"/>
  <sheetViews>
    <sheetView tabSelected="1" workbookViewId="0">
      <selection activeCell="H9" sqref="H9"/>
    </sheetView>
  </sheetViews>
  <sheetFormatPr defaultColWidth="9.08984375" defaultRowHeight="14.5" x14ac:dyDescent="0.35"/>
  <cols>
    <col min="1" max="1" width="15.08984375" style="2" customWidth="1"/>
    <col min="2" max="2" width="27.90625" style="2" bestFit="1" customWidth="1"/>
    <col min="3" max="4" width="15.1796875" style="1" customWidth="1"/>
    <col min="5" max="16384" width="9.08984375" style="2"/>
  </cols>
  <sheetData>
    <row r="1" spans="1:4" s="4" customFormat="1" x14ac:dyDescent="0.35">
      <c r="A1" s="3" t="str">
        <f>"--- Акции ---"</f>
        <v>--- Акции ---</v>
      </c>
      <c r="B1" s="3"/>
      <c r="C1" s="6"/>
      <c r="D1" s="6"/>
    </row>
    <row r="2" spans="1:4" ht="29" x14ac:dyDescent="0.35">
      <c r="A2" s="7" t="s">
        <v>0</v>
      </c>
      <c r="B2" s="7" t="s">
        <v>5</v>
      </c>
      <c r="C2" s="5" t="str">
        <f ca="1">"Цена сегодня, " &amp; CHAR(10) &amp;TEXT(TODAY(),"дд.ММ.гггг")&amp;":"</f>
        <v>Цена сегодня, 
17.09.2025:</v>
      </c>
      <c r="D2" s="5" t="str">
        <f ca="1">"Цена вчера, " &amp; CHAR(10) &amp;TEXT(TODAY()-1,"дд.ММ.гггг")&amp;":"</f>
        <v>Цена вчера, 
16.09.2025:</v>
      </c>
    </row>
    <row r="3" spans="1:4" x14ac:dyDescent="0.35">
      <c r="A3" s="2" t="s">
        <v>1</v>
      </c>
      <c r="B3" s="2" t="str">
        <f>_xlfn.FILTERXML(_xlfn.WEBSERVICE("https://iss.moex.com/iss/engines/stock/markets/shares/boards/TQBR/securities.xml?iss.meta=off&amp;iss.only=securities&amp;securities.columns=SECID,SECNAME"),"//document//data//rows//row[@SECID='"&amp;A3&amp;"']/@SECNAME")</f>
        <v>Сбербанк России ПАО ао</v>
      </c>
      <c r="C3" s="1" t="str">
        <f>SUBSTITUTE( _xlfn.FILTERXML(_xlfn.WEBSERVICE("https://iss.moex.com/iss/engines/stock/markets/shares/boards/TQBR/securities.xml?iss.meta=off&amp;iss.only=marketdata&amp;marketdata.columns=SECID,LAST"),"//document//data//rows//row[@SECID='"&amp;A3&amp;"']/@LAST"),".",",")</f>
        <v>301,24</v>
      </c>
      <c r="D3" s="1" t="str">
        <f>SUBSTITUTE( _xlfn.FILTERXML(_xlfn.WEBSERVICE("https://iss.moex.com/iss/engines/stock/markets/shares/boards/TQBR/securities.xml?iss.meta=off&amp;iss.only=securities&amp;securities.columns=SECID,PREVLEGALCLOSEPRICE"),"//document//data//rows//row[@SECID='"&amp;A3&amp;"']/@PREVLEGALCLOSEPRICE"),".",",")</f>
        <v>302</v>
      </c>
    </row>
    <row r="5" spans="1:4" s="4" customFormat="1" x14ac:dyDescent="0.35">
      <c r="A5" s="3" t="str">
        <f>"--- ETF ---"</f>
        <v>--- ETF ---</v>
      </c>
      <c r="B5" s="3"/>
      <c r="C5" s="6"/>
      <c r="D5" s="6"/>
    </row>
    <row r="6" spans="1:4" ht="29" x14ac:dyDescent="0.35">
      <c r="A6" s="7" t="s">
        <v>0</v>
      </c>
      <c r="B6" s="7" t="s">
        <v>5</v>
      </c>
      <c r="C6" s="5" t="str">
        <f ca="1">"Цена сегодня, " &amp; CHAR(10) &amp;TEXT(TODAY(),"дд.ММ.гггг")&amp;":"</f>
        <v>Цена сегодня, 
17.09.2025:</v>
      </c>
      <c r="D6" s="5" t="str">
        <f ca="1">"Цена вчера, " &amp; CHAR(10) &amp;TEXT(TODAY()-1,"дд.ММ.гггг")&amp;":"</f>
        <v>Цена вчера, 
16.09.2025:</v>
      </c>
    </row>
    <row r="7" spans="1:4" x14ac:dyDescent="0.35">
      <c r="A7" s="2" t="s">
        <v>2</v>
      </c>
      <c r="B7" s="2" t="str">
        <f>_xlfn.FILTERXML(_xlfn.WEBSERVICE("https://iss.moex.com/iss/engines/stock/markets/shares/boards/TQTF/securities.xml?iss.meta=off&amp;iss.only=securities&amp;securities.columns=SECID,SECNAME"),"//document//data//rows//row[@SECID='"&amp;A7&amp;"']/@SECNAME")</f>
        <v>T-КАПИТАЛ ДЕНЕЖНЫЙ РЫНОК</v>
      </c>
      <c r="C7" s="1" t="str">
        <f>SUBSTITUTE( _xlfn.FILTERXML(_xlfn.WEBSERVICE("https://iss.moex.com/iss/engines/stock/markets/shares/boards/TQTF/securities.xml?iss.meta=off&amp;iss.only=marketdata&amp;marketdata.columns=SECID,LAST"),"//document//data//rows//row[@SECID='"&amp;A7&amp;"']/@LAST"),".",",")</f>
        <v>143,07</v>
      </c>
      <c r="D7" s="1" t="str">
        <f>SUBSTITUTE( _xlfn.FILTERXML(_xlfn.WEBSERVICE("https://iss.moex.com/iss/engines/stock/markets/shares/boards/TQTF/securities.xml?iss.meta=off&amp;iss.only=securities&amp;securities.columns=SECID,PREVLEGALCLOSEPRICE"),"//document//data//rows//row[@SECID='"&amp;A7&amp;"']/@PREVLEGALCLOSEPRICE"),".",",")</f>
        <v>143</v>
      </c>
    </row>
    <row r="9" spans="1:4" s="4" customFormat="1" x14ac:dyDescent="0.35">
      <c r="A9" s="3" t="str">
        <f>"--- ОФЗ (Облигации Федерального Займа) ---"</f>
        <v>--- ОФЗ (Облигации Федерального Займа) ---</v>
      </c>
      <c r="B9" s="3"/>
      <c r="C9" s="6"/>
      <c r="D9" s="6"/>
    </row>
    <row r="10" spans="1:4" ht="29" x14ac:dyDescent="0.35">
      <c r="A10" s="5" t="s">
        <v>6</v>
      </c>
      <c r="B10" s="7" t="s">
        <v>5</v>
      </c>
      <c r="C10" s="5" t="str">
        <f ca="1">"Цена сегодня, " &amp; CHAR(10) &amp;TEXT(TODAY(),"дд.ММ.гггг")&amp;":"</f>
        <v>Цена сегодня, 
17.09.2025:</v>
      </c>
      <c r="D10" s="5" t="str">
        <f ca="1">"Цена вчера, " &amp; CHAR(10) &amp;TEXT(TODAY()-1,"дд.ММ.гггг")&amp;":"</f>
        <v>Цена вчера, 
16.09.2025:</v>
      </c>
    </row>
    <row r="11" spans="1:4" x14ac:dyDescent="0.35">
      <c r="A11" s="2" t="s">
        <v>3</v>
      </c>
      <c r="B11" s="2" t="str">
        <f>_xlfn.FILTERXML(_xlfn.WEBSERVICE("https://iss.moex.com/iss/engines/stock/markets/bonds/boards/TQOB/securities.xml?iss.meta=off&amp;iss.only=securities&amp;securities.columns=SECID,SECNAME"),"//document//data//rows//row[@SECID='"&amp;A11&amp;"']/@SECNAME")</f>
        <v>ОФЗ-ИН 52004 17/03/32</v>
      </c>
      <c r="C11" s="1" t="str">
        <f>SUBSTITUTE( _xlfn.FILTERXML(_xlfn.WEBSERVICE("https://iss.moex.com/iss/engines/stock/markets/bonds/boards/TQOB/securities.xml?iss.meta=off&amp;iss.only=marketdata&amp;marketdata.columns=SECID,LAST"),"//document//data//rows//row[@SECID='"&amp;A11&amp;"']/@LAST"),".",",")</f>
        <v>73,24</v>
      </c>
      <c r="D11" s="1" t="str">
        <f>SUBSTITUTE( _xlfn.FILTERXML(_xlfn.WEBSERVICE("https://iss.moex.com/iss/engines/stock/markets/bonds/boards/TQOB/securities.xml?iss.meta=off&amp;iss.only=securities&amp;securities.columns=SECID,PREVLEGALCLOSEPRICE"),"//document//data//rows//row[@SECID='"&amp;A11&amp;"']/@PREVLEGALCLOSEPRICE"),".",",")</f>
        <v>72,982</v>
      </c>
    </row>
    <row r="13" spans="1:4" s="4" customFormat="1" x14ac:dyDescent="0.35">
      <c r="A13" s="3" t="str">
        <f>"--- Корпоративные облигации ---"</f>
        <v>--- Корпоративные облигации ---</v>
      </c>
      <c r="B13" s="3"/>
      <c r="C13" s="6"/>
      <c r="D13" s="6"/>
    </row>
    <row r="14" spans="1:4" ht="29" x14ac:dyDescent="0.35">
      <c r="A14" s="5" t="s">
        <v>6</v>
      </c>
      <c r="B14" s="7" t="s">
        <v>5</v>
      </c>
      <c r="C14" s="5" t="str">
        <f ca="1">"Цена сегодня, " &amp; CHAR(10) &amp;TEXT(TODAY(),"дд.ММ.гггг")&amp;":"</f>
        <v>Цена сегодня, 
17.09.2025:</v>
      </c>
      <c r="D14" s="5" t="str">
        <f ca="1">"Цена вчера, " &amp; CHAR(10) &amp;TEXT(TODAY()-1,"дд.ММ.гггг")&amp;":"</f>
        <v>Цена вчера, 
16.09.2025:</v>
      </c>
    </row>
    <row r="15" spans="1:4" x14ac:dyDescent="0.35">
      <c r="A15" s="2" t="s">
        <v>4</v>
      </c>
      <c r="B15" s="2" t="str">
        <f>_xlfn.FILTERXML(_xlfn.WEBSERVICE("https://iss.moex.com/iss/engines/stock/markets/bonds/boards/TQCB/securities/"&amp;A15&amp;"/securities.xml?iss.meta=off&amp;iss.only=securities&amp;securities.columns=SECID,SECNAME"),"//document//data//rows//row/@SECNAME")</f>
        <v>Совкомбанк Лизинг БО-П06</v>
      </c>
      <c r="C15" s="1" t="str">
        <f>SUBSTITUTE( _xlfn.FILTERXML(_xlfn.WEBSERVICE("https://iss.moex.com/iss/engines/stock/markets/bonds/boards/TQCB/securities/"&amp;A15&amp;"/securities.xml?iss.meta=off&amp;iss.only=marketdata&amp;marketdata.columns=SECID,LAST"),"//document//data//rows//row/@LAST"),".",",")</f>
        <v>97,04</v>
      </c>
      <c r="D15" s="1" t="str">
        <f>SUBSTITUTE( _xlfn.FILTERXML(_xlfn.WEBSERVICE("https://iss.moex.com/iss/engines/stock/markets/bonds/boards/TQCB/securities/"&amp;A15&amp;"/securities.xml?iss.meta=off&amp;iss.only=securities&amp;securities.columns=SECID,PREVLEGALCLOSEPRICE"),"//document//data//rows//row/@PREVLEGALCLOSEPRICE"),".",",")</f>
        <v>97,11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Мосбиржа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2025-05-02T10:38:48Z</dcterms:created>
  <dcterms:modified xsi:type="dcterms:W3CDTF">2025-09-17T13:02:55Z</dcterms:modified>
</cp:coreProperties>
</file>